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sson\AOBOX\Travail\huss\Divers\Site_Github\husson.github.io\img\"/>
    </mc:Choice>
  </mc:AlternateContent>
  <xr:revisionPtr revIDLastSave="0" documentId="13_ncr:1_{2BB3BE6F-453D-451A-A2EB-B51F3F7DC0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" sheetId="1" r:id="rId1"/>
    <sheet name="Calcu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2" l="1"/>
  <c r="D4" i="2"/>
  <c r="E4" i="2"/>
  <c r="F4" i="2"/>
  <c r="C5" i="2"/>
  <c r="D5" i="2"/>
  <c r="E5" i="2"/>
  <c r="F5" i="2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C10" i="2"/>
  <c r="D10" i="2"/>
  <c r="E10" i="2"/>
  <c r="F10" i="2"/>
  <c r="D3" i="2"/>
  <c r="E3" i="2"/>
  <c r="F3" i="2"/>
  <c r="C3" i="2"/>
  <c r="N18" i="1"/>
  <c r="N19" i="1"/>
  <c r="N20" i="1"/>
  <c r="N21" i="1"/>
  <c r="N17" i="1"/>
  <c r="G18" i="1" l="1"/>
  <c r="G22" i="1"/>
  <c r="G23" i="1"/>
  <c r="G19" i="1"/>
  <c r="G20" i="1"/>
  <c r="G21" i="1"/>
  <c r="G17" i="1"/>
  <c r="G16" i="1"/>
  <c r="I2" i="2" a="1"/>
  <c r="N3" i="2" s="1"/>
  <c r="O5" i="2" l="1"/>
  <c r="O3" i="2"/>
  <c r="N5" i="2"/>
  <c r="K2" i="2"/>
  <c r="L2" i="2"/>
  <c r="I3" i="2"/>
  <c r="I4" i="2"/>
  <c r="I5" i="2"/>
  <c r="I6" i="2"/>
  <c r="M2" i="2"/>
  <c r="L3" i="2"/>
  <c r="L4" i="2"/>
  <c r="L5" i="2"/>
  <c r="L6" i="2"/>
  <c r="J2" i="2"/>
  <c r="P2" i="2"/>
  <c r="P3" i="2"/>
  <c r="P4" i="2"/>
  <c r="P5" i="2"/>
  <c r="P6" i="2"/>
  <c r="I2" i="2"/>
  <c r="N2" i="2"/>
  <c r="M3" i="2"/>
  <c r="M4" i="2"/>
  <c r="M5" i="2"/>
  <c r="M6" i="2"/>
  <c r="K3" i="2"/>
  <c r="K5" i="2"/>
  <c r="J3" i="2"/>
  <c r="J5" i="2"/>
  <c r="O2" i="2"/>
  <c r="O4" i="2"/>
  <c r="O6" i="2"/>
  <c r="N4" i="2"/>
  <c r="N6" i="2"/>
  <c r="K4" i="2"/>
  <c r="K6" i="2"/>
  <c r="J4" i="2"/>
  <c r="J6" i="2"/>
  <c r="I8" i="2" l="1" a="1"/>
  <c r="K8" i="2" l="1"/>
  <c r="I11" i="2"/>
  <c r="M11" i="2"/>
  <c r="J10" i="2"/>
  <c r="K10" i="2"/>
  <c r="J12" i="2"/>
  <c r="I9" i="2"/>
  <c r="M10" i="2"/>
  <c r="K9" i="2"/>
  <c r="J11" i="2"/>
  <c r="I8" i="2"/>
  <c r="M9" i="2"/>
  <c r="L11" i="2"/>
  <c r="L12" i="2"/>
  <c r="I12" i="2"/>
  <c r="M8" i="2"/>
  <c r="L10" i="2"/>
  <c r="K12" i="2"/>
  <c r="J9" i="2"/>
  <c r="L8" i="2"/>
  <c r="M12" i="2"/>
  <c r="L9" i="2"/>
  <c r="K11" i="2"/>
  <c r="J8" i="2"/>
  <c r="I10" i="2"/>
  <c r="O9" i="2" l="1"/>
  <c r="B14" i="2" a="1"/>
  <c r="D14" i="2" l="1"/>
  <c r="F15" i="2"/>
  <c r="B17" i="2"/>
  <c r="F14" i="2"/>
  <c r="B18" i="2"/>
  <c r="C18" i="2"/>
  <c r="B14" i="2"/>
  <c r="D15" i="2"/>
  <c r="E16" i="2"/>
  <c r="E17" i="2"/>
  <c r="M20" i="1" s="1"/>
  <c r="B15" i="2"/>
  <c r="D16" i="2"/>
  <c r="M19" i="1" s="1"/>
  <c r="F17" i="2"/>
  <c r="D18" i="2"/>
  <c r="C15" i="2"/>
  <c r="M18" i="1" s="1"/>
  <c r="C16" i="2"/>
  <c r="D17" i="2"/>
  <c r="F18" i="2"/>
  <c r="M21" i="1" s="1"/>
  <c r="E14" i="2"/>
  <c r="B16" i="2"/>
  <c r="C17" i="2"/>
  <c r="E18" i="2"/>
  <c r="C14" i="2"/>
  <c r="E15" i="2"/>
  <c r="F16" i="2"/>
  <c r="M17" i="1" l="1"/>
  <c r="A14" i="1" s="1"/>
  <c r="I14" i="2" a="1"/>
  <c r="K14" i="2" l="1"/>
  <c r="L14" i="2"/>
  <c r="L16" i="2"/>
  <c r="L18" i="2"/>
  <c r="P14" i="2"/>
  <c r="P16" i="2"/>
  <c r="P18" i="2"/>
  <c r="P15" i="2"/>
  <c r="P17" i="2"/>
  <c r="L15" i="2"/>
  <c r="L17" i="2"/>
  <c r="I18" i="2"/>
  <c r="I16" i="2"/>
  <c r="I14" i="2"/>
  <c r="J17" i="2"/>
  <c r="J15" i="2"/>
  <c r="K18" i="2"/>
  <c r="K16" i="2"/>
  <c r="M18" i="2"/>
  <c r="M16" i="2"/>
  <c r="M14" i="2"/>
  <c r="N17" i="2"/>
  <c r="N15" i="2"/>
  <c r="O18" i="2"/>
  <c r="O16" i="2"/>
  <c r="O14" i="2"/>
  <c r="I17" i="2"/>
  <c r="I15" i="2"/>
  <c r="J18" i="2"/>
  <c r="J16" i="2"/>
  <c r="J14" i="2"/>
  <c r="K17" i="2"/>
  <c r="K15" i="2"/>
  <c r="M17" i="2"/>
  <c r="M15" i="2"/>
  <c r="N18" i="2"/>
  <c r="N16" i="2"/>
  <c r="N14" i="2"/>
  <c r="O17" i="2"/>
  <c r="O15" i="2"/>
  <c r="K17" i="1" l="1" a="1"/>
  <c r="K17" i="1" l="1"/>
  <c r="K19" i="1"/>
  <c r="K21" i="1"/>
  <c r="K20" i="1"/>
  <c r="K18" i="1"/>
  <c r="G26" i="1" l="1" a="1"/>
  <c r="G28" i="1" l="1"/>
  <c r="G32" i="1"/>
  <c r="G27" i="1"/>
  <c r="G31" i="1"/>
  <c r="G26" i="1"/>
  <c r="G30" i="1"/>
  <c r="G29" i="1"/>
  <c r="G33" i="1"/>
  <c r="K23" i="1" l="1"/>
  <c r="L19" i="1" s="1"/>
  <c r="L20" i="1" l="1"/>
  <c r="L17" i="1"/>
  <c r="L18" i="1"/>
  <c r="L21" i="1"/>
</calcChain>
</file>

<file path=xl/sharedStrings.xml><?xml version="1.0" encoding="utf-8"?>
<sst xmlns="http://schemas.openxmlformats.org/spreadsheetml/2006/main" count="94" uniqueCount="58">
  <si>
    <t>alpha_1=</t>
  </si>
  <si>
    <t>mu=</t>
  </si>
  <si>
    <t>beta_1=</t>
  </si>
  <si>
    <t>gamma_1=</t>
  </si>
  <si>
    <t>X'</t>
  </si>
  <si>
    <t>X'X</t>
  </si>
  <si>
    <t>(X'X)-1</t>
  </si>
  <si>
    <t>(X'X)-1X'</t>
  </si>
  <si>
    <t>sigma^2 =</t>
  </si>
  <si>
    <t>Y</t>
  </si>
  <si>
    <t>F1</t>
  </si>
  <si>
    <t>F2</t>
  </si>
  <si>
    <t>F3</t>
  </si>
  <si>
    <t>F4</t>
  </si>
  <si>
    <t>delta_1=</t>
  </si>
  <si>
    <t>ecart-type normalisé</t>
  </si>
  <si>
    <t>coeff</t>
  </si>
  <si>
    <t>ecart-</t>
  </si>
  <si>
    <t>type</t>
  </si>
  <si>
    <t>Exp 1</t>
  </si>
  <si>
    <t>Exp 2</t>
  </si>
  <si>
    <t>Exp 3</t>
  </si>
  <si>
    <t>Exp 4</t>
  </si>
  <si>
    <t>Exp 5</t>
  </si>
  <si>
    <t>Exp 6</t>
  </si>
  <si>
    <t>Exp 7</t>
  </si>
  <si>
    <t>Exp 8</t>
  </si>
  <si>
    <t>Plan optimum</t>
  </si>
  <si>
    <t>votre plan</t>
  </si>
  <si>
    <t>Chaque facteur peut prendre 2 modalités; celles-ci sont listées dans le tableau</t>
  </si>
  <si>
    <t>Farine</t>
  </si>
  <si>
    <t>Mode pliage</t>
  </si>
  <si>
    <t>En modifiant les expériences, vous pouvez voir l'effet sur la qualité de l'estimation des paramètres</t>
  </si>
  <si>
    <t>X</t>
  </si>
  <si>
    <t>Déterminant de (X'X)</t>
  </si>
  <si>
    <t>Y prédit =</t>
  </si>
  <si>
    <t>Q1 )</t>
  </si>
  <si>
    <t>en modifiant le choix des expériences (cliquer sur une case colorée et choisir la modalité que vous voulez)</t>
  </si>
  <si>
    <t>Q2)</t>
  </si>
  <si>
    <t>Vous pouvez voir ensuite comment sont estimés les paramètres et les valeurs en allant sur la feuille "Calculs"</t>
  </si>
  <si>
    <t>Trouver les 8 expériences qui permettent d'estimer au mieux les paramètres du modèle (l'écart-type du plan optimal est donné)</t>
  </si>
  <si>
    <t>Coeff</t>
  </si>
  <si>
    <t>vraie valeur</t>
  </si>
  <si>
    <t>estimés</t>
  </si>
  <si>
    <t>Exercice découverte des plans fractionnaires (par François Husson)</t>
  </si>
  <si>
    <t>Parité</t>
  </si>
  <si>
    <t>Primipare</t>
  </si>
  <si>
    <t>Multipare</t>
  </si>
  <si>
    <t>Calciim</t>
  </si>
  <si>
    <t>Supp. calcium</t>
  </si>
  <si>
    <t>Pas calcium</t>
  </si>
  <si>
    <t>Colostrum</t>
  </si>
  <si>
    <t>Pas colostrum</t>
  </si>
  <si>
    <t>Lampe</t>
  </si>
  <si>
    <t>Pas lampe</t>
  </si>
  <si>
    <t>On veut étudier l'effet de 4 facteurs (parité, supplément calcium, Colostrum, lampe) sur poids au sevrage de porcelets</t>
  </si>
  <si>
    <t>Y correspond au poids au sevrage</t>
  </si>
  <si>
    <t>Pour cet exercice, la variable réponse Y est générée selon un modèle d'analyse de variance à 4 facteurs avec un résidu qui suit une loi Normale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</si>
</sst>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color rgb="FF0070C0"/>
      <name val="Arial"/>
      <family val="2"/>
    </font>
    <font>
      <b/>
      <sz val="12"/>
      <color rgb="FFFF0000"/>
      <name val="Arial"/>
      <family val="2"/>
    </font>
    <font>
      <b/>
      <sz val="10"/>
      <color theme="5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Protection="1"/>
    <xf numFmtId="2" fontId="0" fillId="0" borderId="0" xfId="0" applyNumberFormat="1" applyProtection="1"/>
    <xf numFmtId="0" fontId="0" fillId="0" borderId="7" xfId="0" applyBorder="1"/>
    <xf numFmtId="0" fontId="0" fillId="0" borderId="8" xfId="0" applyBorder="1"/>
    <xf numFmtId="164" fontId="1" fillId="0" borderId="0" xfId="0" applyNumberFormat="1" applyFont="1" applyAlignment="1">
      <alignment horizontal="center"/>
    </xf>
    <xf numFmtId="0" fontId="1" fillId="0" borderId="0" xfId="0" applyFont="1" applyAlignment="1" applyProtection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quotePrefix="1" applyFont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0" fillId="0" borderId="1" xfId="0" applyBorder="1" applyAlignment="1">
      <alignment horizontal="center"/>
    </xf>
    <xf numFmtId="0" fontId="1" fillId="0" borderId="2" xfId="0" applyFont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Border="1" applyAlignment="1" applyProtection="1">
      <alignment horizontal="center"/>
    </xf>
    <xf numFmtId="0" fontId="1" fillId="0" borderId="5" xfId="0" applyFont="1" applyBorder="1" applyAlignment="1" applyProtection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center"/>
    </xf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2" fillId="0" borderId="0" xfId="0" applyFont="1" applyBorder="1" applyAlignment="1" applyProtection="1">
      <alignment horizontal="right"/>
    </xf>
    <xf numFmtId="0" fontId="6" fillId="0" borderId="0" xfId="0" applyFont="1" applyAlignment="1">
      <alignment vertical="top"/>
    </xf>
    <xf numFmtId="2" fontId="7" fillId="0" borderId="11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0" fillId="2" borderId="13" xfId="0" applyFill="1" applyBorder="1" applyAlignment="1" applyProtection="1">
      <alignment horizontal="center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5" borderId="13" xfId="0" applyFill="1" applyBorder="1" applyAlignment="1" applyProtection="1">
      <alignment horizontal="center"/>
      <protection locked="0"/>
    </xf>
    <xf numFmtId="0" fontId="0" fillId="4" borderId="14" xfId="0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alignment horizontal="center"/>
      <protection locked="0"/>
    </xf>
    <xf numFmtId="0" fontId="0" fillId="5" borderId="0" xfId="0" applyFill="1" applyBorder="1" applyAlignment="1" applyProtection="1">
      <alignment horizontal="center"/>
      <protection locked="0"/>
    </xf>
    <xf numFmtId="0" fontId="0" fillId="4" borderId="16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3" borderId="18" xfId="0" applyFill="1" applyBorder="1" applyAlignment="1" applyProtection="1">
      <alignment horizontal="center"/>
      <protection locked="0"/>
    </xf>
    <xf numFmtId="0" fontId="0" fillId="5" borderId="18" xfId="0" applyFill="1" applyBorder="1" applyAlignment="1" applyProtection="1">
      <alignment horizontal="center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2" fillId="8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90" zoomScaleNormal="90" workbookViewId="0">
      <selection activeCell="D9" sqref="D9"/>
    </sheetView>
  </sheetViews>
  <sheetFormatPr baseColWidth="10" defaultRowHeight="12.75" x14ac:dyDescent="0.2"/>
  <cols>
    <col min="1" max="1" width="6" bestFit="1" customWidth="1"/>
    <col min="2" max="5" width="12.42578125" customWidth="1"/>
    <col min="6" max="6" width="3.28515625" customWidth="1"/>
    <col min="7" max="7" width="5.85546875" customWidth="1"/>
    <col min="8" max="8" width="4.42578125" customWidth="1"/>
    <col min="9" max="9" width="7.140625" customWidth="1"/>
    <col min="10" max="10" width="6.7109375" customWidth="1"/>
    <col min="11" max="14" width="14.28515625" customWidth="1"/>
    <col min="16" max="16" width="10.28515625" bestFit="1" customWidth="1"/>
    <col min="17" max="17" width="11.7109375" bestFit="1" customWidth="1"/>
  </cols>
  <sheetData>
    <row r="1" spans="1:15" ht="15.75" x14ac:dyDescent="0.2">
      <c r="B1" s="19" t="s">
        <v>44</v>
      </c>
    </row>
    <row r="2" spans="1:15" ht="15" thickBot="1" x14ac:dyDescent="0.25">
      <c r="B2" s="20" t="s">
        <v>55</v>
      </c>
    </row>
    <row r="3" spans="1:15" ht="14.25" x14ac:dyDescent="0.2">
      <c r="B3" s="21" t="s">
        <v>45</v>
      </c>
      <c r="C3" s="22" t="s">
        <v>48</v>
      </c>
      <c r="D3" s="22" t="s">
        <v>51</v>
      </c>
      <c r="E3" s="70" t="s">
        <v>53</v>
      </c>
      <c r="G3" s="20" t="s">
        <v>29</v>
      </c>
    </row>
    <row r="4" spans="1:15" ht="14.25" x14ac:dyDescent="0.2">
      <c r="A4" s="13"/>
      <c r="B4" s="71" t="s">
        <v>46</v>
      </c>
      <c r="C4" s="68" t="s">
        <v>49</v>
      </c>
      <c r="D4" s="69" t="s">
        <v>51</v>
      </c>
      <c r="E4" s="72" t="s">
        <v>53</v>
      </c>
      <c r="G4" s="20" t="s">
        <v>56</v>
      </c>
    </row>
    <row r="5" spans="1:15" ht="13.5" thickBot="1" x14ac:dyDescent="0.25">
      <c r="A5" s="11"/>
      <c r="B5" s="73" t="s">
        <v>47</v>
      </c>
      <c r="C5" s="74" t="s">
        <v>50</v>
      </c>
      <c r="D5" s="75" t="s">
        <v>52</v>
      </c>
      <c r="E5" s="76" t="s">
        <v>54</v>
      </c>
    </row>
    <row r="6" spans="1:15" x14ac:dyDescent="0.2">
      <c r="B6" s="4"/>
      <c r="C6" s="4"/>
      <c r="D6" s="4"/>
      <c r="E6" s="4"/>
    </row>
    <row r="7" spans="1:15" ht="14.25" x14ac:dyDescent="0.2">
      <c r="B7" s="20" t="s">
        <v>57</v>
      </c>
      <c r="C7" s="4"/>
      <c r="D7" s="4"/>
      <c r="E7" s="4"/>
    </row>
    <row r="8" spans="1:15" ht="14.25" x14ac:dyDescent="0.2">
      <c r="B8" s="24" t="s">
        <v>32</v>
      </c>
      <c r="C8" s="4"/>
      <c r="D8" s="4"/>
      <c r="E8" s="4"/>
    </row>
    <row r="9" spans="1:15" ht="14.25" x14ac:dyDescent="0.2">
      <c r="B9" s="24"/>
      <c r="C9" s="4"/>
      <c r="D9" s="4"/>
      <c r="E9" s="4"/>
    </row>
    <row r="10" spans="1:15" x14ac:dyDescent="0.2">
      <c r="A10" s="34" t="s">
        <v>36</v>
      </c>
      <c r="B10" s="12" t="s">
        <v>40</v>
      </c>
      <c r="C10" s="4"/>
      <c r="D10" s="4"/>
      <c r="E10" s="4"/>
    </row>
    <row r="11" spans="1:15" x14ac:dyDescent="0.2">
      <c r="A11" s="34"/>
      <c r="B11" s="12" t="s">
        <v>37</v>
      </c>
      <c r="C11" s="4"/>
      <c r="D11" s="4"/>
      <c r="E11" s="4"/>
    </row>
    <row r="12" spans="1:15" x14ac:dyDescent="0.2">
      <c r="A12" s="34" t="s">
        <v>38</v>
      </c>
      <c r="B12" s="12" t="s">
        <v>39</v>
      </c>
      <c r="C12" s="4"/>
      <c r="D12" s="4"/>
      <c r="E12" s="4"/>
    </row>
    <row r="13" spans="1:15" x14ac:dyDescent="0.2">
      <c r="B13" s="23"/>
      <c r="C13" s="4"/>
      <c r="D13" s="4"/>
      <c r="E13" s="4"/>
    </row>
    <row r="14" spans="1:15" ht="23.25" customHeight="1" thickBot="1" x14ac:dyDescent="0.25">
      <c r="A14" s="48" t="str">
        <f>IF(Calculs!O9=0,"Problème : votre plan a un défaut trop important, les paramètres du modèle ne pourront pas être calculés",IF(AND(M17=N17,M18=N18,M19=N19,M20=N20,M21=N21),"               Bravo !!! Vous avez trouvé un plan d'expériences optimal","               Ce plan n'est pas optimal : essayez encore"))</f>
        <v xml:space="preserve">               Ce plan n'est pas optimal : essayez encore</v>
      </c>
      <c r="C14" s="4"/>
      <c r="D14" s="4"/>
      <c r="E14" s="4"/>
    </row>
    <row r="15" spans="1:15" ht="13.5" thickBot="1" x14ac:dyDescent="0.25">
      <c r="B15" s="21" t="s">
        <v>45</v>
      </c>
      <c r="C15" s="22" t="s">
        <v>30</v>
      </c>
      <c r="D15" s="22" t="s">
        <v>51</v>
      </c>
      <c r="E15" s="70" t="s">
        <v>31</v>
      </c>
      <c r="G15" s="11" t="s">
        <v>9</v>
      </c>
      <c r="K15" s="15" t="s">
        <v>16</v>
      </c>
      <c r="L15" s="15" t="s">
        <v>17</v>
      </c>
      <c r="M15" s="81" t="s">
        <v>15</v>
      </c>
      <c r="N15" s="81"/>
      <c r="O15" s="51" t="s">
        <v>41</v>
      </c>
    </row>
    <row r="16" spans="1:15" x14ac:dyDescent="0.2">
      <c r="A16" s="77" t="s">
        <v>19</v>
      </c>
      <c r="B16" s="56" t="s">
        <v>47</v>
      </c>
      <c r="C16" s="57" t="s">
        <v>50</v>
      </c>
      <c r="D16" s="58" t="s">
        <v>51</v>
      </c>
      <c r="E16" s="59" t="s">
        <v>54</v>
      </c>
      <c r="G16" s="2">
        <f ca="1">O$17+O$18*Calculs!C3+O$19*Calculs!D3+O$20*Calculs!E3+O$21*Calculs!F3+NORMINV(RAND(),0,2)</f>
        <v>27.575528148410967</v>
      </c>
      <c r="K16" s="80" t="s">
        <v>43</v>
      </c>
      <c r="L16" s="16" t="s">
        <v>18</v>
      </c>
      <c r="M16" s="14" t="s">
        <v>28</v>
      </c>
      <c r="N16" s="14" t="s">
        <v>27</v>
      </c>
      <c r="O16" s="52" t="s">
        <v>42</v>
      </c>
    </row>
    <row r="17" spans="1:15" x14ac:dyDescent="0.2">
      <c r="A17" s="78" t="s">
        <v>20</v>
      </c>
      <c r="B17" s="60" t="s">
        <v>46</v>
      </c>
      <c r="C17" s="61" t="s">
        <v>49</v>
      </c>
      <c r="D17" s="62" t="s">
        <v>51</v>
      </c>
      <c r="E17" s="63" t="s">
        <v>54</v>
      </c>
      <c r="G17" s="2">
        <f ca="1">O$17+O$18*Calculs!C4+O$19*Calculs!D4+O$20*Calculs!E4+O$21*Calculs!F4+NORMINV(RAND(),0,2)</f>
        <v>31.279158416674449</v>
      </c>
      <c r="J17" s="1" t="s">
        <v>1</v>
      </c>
      <c r="K17" s="49">
        <f t="array" aca="1" ref="K17:K21" ca="1">MMULT(Calculs!I14:P18,plan!G16:G23)</f>
        <v>26.752388486007703</v>
      </c>
      <c r="L17" s="17">
        <f ca="1">SQRT(Calculs!B14*plan!K23)</f>
        <v>1.3096267674871844</v>
      </c>
      <c r="M17" s="45">
        <f>SQRT(Calculs!B14)</f>
        <v>1.1180339887498949</v>
      </c>
      <c r="N17" s="45">
        <f>1/SQRT(8)</f>
        <v>0.35355339059327373</v>
      </c>
      <c r="O17" s="55">
        <v>30</v>
      </c>
    </row>
    <row r="18" spans="1:15" x14ac:dyDescent="0.2">
      <c r="A18" s="78" t="s">
        <v>21</v>
      </c>
      <c r="B18" s="60" t="s">
        <v>46</v>
      </c>
      <c r="C18" s="61" t="s">
        <v>50</v>
      </c>
      <c r="D18" s="62" t="s">
        <v>52</v>
      </c>
      <c r="E18" s="63" t="s">
        <v>54</v>
      </c>
      <c r="G18" s="2">
        <f ca="1">O$17+O$18*Calculs!C5+O$19*Calculs!D5+O$20*Calculs!E5+O$21*Calculs!F5+NORMINV(RAND(),0,2)</f>
        <v>32.28764553852276</v>
      </c>
      <c r="J18" s="1" t="s">
        <v>0</v>
      </c>
      <c r="K18" s="49">
        <f ca="1"/>
        <v>4.7735619951507866</v>
      </c>
      <c r="L18" s="17">
        <f ca="1">SQRT(Calculs!C15*plan!K23)</f>
        <v>0.65481338374359221</v>
      </c>
      <c r="M18" s="45">
        <f>SQRT(Calculs!C15)</f>
        <v>0.55901699437494745</v>
      </c>
      <c r="N18" s="45">
        <f t="shared" ref="N18:N21" si="0">1/SQRT(8)</f>
        <v>0.35355339059327373</v>
      </c>
      <c r="O18" s="53">
        <v>5</v>
      </c>
    </row>
    <row r="19" spans="1:15" x14ac:dyDescent="0.2">
      <c r="A19" s="78" t="s">
        <v>22</v>
      </c>
      <c r="B19" s="60" t="s">
        <v>46</v>
      </c>
      <c r="C19" s="61" t="s">
        <v>50</v>
      </c>
      <c r="D19" s="62" t="s">
        <v>51</v>
      </c>
      <c r="E19" s="63" t="s">
        <v>53</v>
      </c>
      <c r="G19" s="2">
        <f ca="1">O$17+O$18*Calculs!C6+O$19*Calculs!D6+O$20*Calculs!E6+O$21*Calculs!F6+NORMINV(RAND(),0,2)</f>
        <v>36.607749145832358</v>
      </c>
      <c r="J19" s="1" t="s">
        <v>2</v>
      </c>
      <c r="K19" s="49">
        <f ca="1"/>
        <v>-2.921746861019054</v>
      </c>
      <c r="L19" s="17">
        <f ca="1">SQRT(Calculs!D16*plan!K23)</f>
        <v>0.65481338374359221</v>
      </c>
      <c r="M19" s="45">
        <f>SQRT(Calculs!D16)</f>
        <v>0.55901699437494745</v>
      </c>
      <c r="N19" s="45">
        <f t="shared" si="0"/>
        <v>0.35355339059327373</v>
      </c>
      <c r="O19" s="53">
        <v>-2</v>
      </c>
    </row>
    <row r="20" spans="1:15" x14ac:dyDescent="0.2">
      <c r="A20" s="78" t="s">
        <v>23</v>
      </c>
      <c r="B20" s="60" t="s">
        <v>46</v>
      </c>
      <c r="C20" s="61" t="s">
        <v>50</v>
      </c>
      <c r="D20" s="62" t="s">
        <v>51</v>
      </c>
      <c r="E20" s="63" t="s">
        <v>54</v>
      </c>
      <c r="G20" s="2">
        <f ca="1">O$17+O$18*Calculs!C7+O$19*Calculs!D7+O$20*Calculs!E7+O$21*Calculs!F7+NORMINV(RAND(),0,2)</f>
        <v>37.070842144230255</v>
      </c>
      <c r="J20" s="1" t="s">
        <v>3</v>
      </c>
      <c r="K20" s="49">
        <f ca="1"/>
        <v>2.4175033000948805</v>
      </c>
      <c r="L20" s="17">
        <f ca="1">SQRT(Calculs!E17*plan!K23)</f>
        <v>0.65481338374359221</v>
      </c>
      <c r="M20" s="45">
        <f>SQRT(Calculs!E17)</f>
        <v>0.55901699437494745</v>
      </c>
      <c r="N20" s="45">
        <f t="shared" si="0"/>
        <v>0.35355339059327373</v>
      </c>
      <c r="O20" s="53">
        <v>1.5</v>
      </c>
    </row>
    <row r="21" spans="1:15" x14ac:dyDescent="0.2">
      <c r="A21" s="78" t="s">
        <v>24</v>
      </c>
      <c r="B21" s="60" t="s">
        <v>46</v>
      </c>
      <c r="C21" s="61" t="s">
        <v>50</v>
      </c>
      <c r="D21" s="62" t="s">
        <v>51</v>
      </c>
      <c r="E21" s="63" t="s">
        <v>54</v>
      </c>
      <c r="G21" s="2">
        <f ca="1">O$17+O$18*Calculs!C8+O$19*Calculs!D8+O$20*Calculs!E8+O$21*Calculs!F8+NORMINV(RAND(),0,2)</f>
        <v>35.773827355120872</v>
      </c>
      <c r="J21" s="1" t="s">
        <v>14</v>
      </c>
      <c r="K21" s="50">
        <f ca="1"/>
        <v>-0.25745149644008514</v>
      </c>
      <c r="L21" s="18">
        <f ca="1">SQRT(Calculs!F18*plan!K23)</f>
        <v>0.65481338374359221</v>
      </c>
      <c r="M21" s="46">
        <f>SQRT(Calculs!F18)</f>
        <v>0.55901699437494745</v>
      </c>
      <c r="N21" s="46">
        <f t="shared" si="0"/>
        <v>0.35355339059327373</v>
      </c>
      <c r="O21" s="54">
        <v>2</v>
      </c>
    </row>
    <row r="22" spans="1:15" x14ac:dyDescent="0.2">
      <c r="A22" s="78" t="s">
        <v>25</v>
      </c>
      <c r="B22" s="60" t="s">
        <v>46</v>
      </c>
      <c r="C22" s="61" t="s">
        <v>50</v>
      </c>
      <c r="D22" s="62" t="s">
        <v>51</v>
      </c>
      <c r="E22" s="63" t="s">
        <v>54</v>
      </c>
      <c r="G22" s="2">
        <f ca="1">O$17+O$18*Calculs!C9+O$19*Calculs!D9+O$20*Calculs!E9+O$21*Calculs!F9+NORMINV(RAND(),0,2)</f>
        <v>37.012601714608138</v>
      </c>
      <c r="J22" s="4"/>
      <c r="K22" s="3"/>
    </row>
    <row r="23" spans="1:15" ht="13.5" thickBot="1" x14ac:dyDescent="0.25">
      <c r="A23" s="79" t="s">
        <v>26</v>
      </c>
      <c r="B23" s="64" t="s">
        <v>46</v>
      </c>
      <c r="C23" s="65" t="s">
        <v>50</v>
      </c>
      <c r="D23" s="66" t="s">
        <v>51</v>
      </c>
      <c r="E23" s="67" t="s">
        <v>54</v>
      </c>
      <c r="G23" s="2">
        <f ca="1">O$17+O$18*Calculs!C10+O$19*Calculs!D10+O$20*Calculs!E10+O$21*Calculs!F10+NORMINV(RAND(),0,2)</f>
        <v>38.633337340890847</v>
      </c>
      <c r="J23" s="1" t="s">
        <v>8</v>
      </c>
      <c r="K23" s="9">
        <f ca="1">SUMXMY2(G16:G23,G26:G33)/(8-5)</f>
        <v>1.3720978160951454</v>
      </c>
    </row>
    <row r="25" spans="1:15" x14ac:dyDescent="0.2">
      <c r="F25" s="5"/>
      <c r="G25" s="5"/>
      <c r="H25" s="5"/>
      <c r="I25" s="5"/>
    </row>
    <row r="26" spans="1:15" x14ac:dyDescent="0.2">
      <c r="F26" s="47" t="s">
        <v>35</v>
      </c>
      <c r="G26" s="6">
        <f t="array" aca="1" ref="G26:G33" ca="1">MMULT(Calculs!B3:F10,plan!K17:K21)</f>
        <v>27.575528148410932</v>
      </c>
    </row>
    <row r="27" spans="1:15" x14ac:dyDescent="0.2">
      <c r="G27" s="6">
        <f ca="1"/>
        <v>31.279158416674399</v>
      </c>
      <c r="L27" s="6"/>
    </row>
    <row r="28" spans="1:15" x14ac:dyDescent="0.2">
      <c r="G28" s="6">
        <f ca="1"/>
        <v>32.287645538522746</v>
      </c>
    </row>
    <row r="29" spans="1:15" x14ac:dyDescent="0.2">
      <c r="G29" s="6">
        <f ca="1"/>
        <v>36.607749145832337</v>
      </c>
    </row>
    <row r="30" spans="1:15" x14ac:dyDescent="0.2">
      <c r="G30" s="6">
        <f ca="1"/>
        <v>37.122652138712503</v>
      </c>
    </row>
    <row r="31" spans="1:15" x14ac:dyDescent="0.2">
      <c r="G31" s="6">
        <f ca="1"/>
        <v>37.122652138712503</v>
      </c>
    </row>
    <row r="32" spans="1:15" x14ac:dyDescent="0.2">
      <c r="G32" s="6">
        <f ca="1"/>
        <v>37.122652138712503</v>
      </c>
    </row>
    <row r="33" spans="7:7" x14ac:dyDescent="0.2">
      <c r="G33">
        <f ca="1"/>
        <v>37.122652138712503</v>
      </c>
    </row>
  </sheetData>
  <mergeCells count="1">
    <mergeCell ref="M15:N15"/>
  </mergeCells>
  <dataValidations count="4">
    <dataValidation type="list" allowBlank="1" showInputMessage="1" showErrorMessage="1" errorTitle="Problème dans les modalités" error="Les modalités possibles sont :_x000a_ -   Fine_x000a_ -   Epaisse" sqref="B16:B23" xr:uid="{00000000-0002-0000-0000-000000000000}">
      <formula1>$B$4:$B$5</formula1>
    </dataValidation>
    <dataValidation type="list" allowBlank="1" showInputMessage="1" showErrorMessage="1" sqref="C16:C23" xr:uid="{00000000-0002-0000-0000-000001000000}">
      <formula1>$C$4:$C$5</formula1>
    </dataValidation>
    <dataValidation type="list" allowBlank="1" showInputMessage="1" showErrorMessage="1" sqref="D16:D23" xr:uid="{00000000-0002-0000-0000-000002000000}">
      <formula1>$D$4:$D$5</formula1>
    </dataValidation>
    <dataValidation type="list" allowBlank="1" showInputMessage="1" showErrorMessage="1" sqref="E16:E23" xr:uid="{00000000-0002-0000-0000-000003000000}">
      <formula1>$E$4:$E$5</formula1>
    </dataValidation>
  </dataValidation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18"/>
  <sheetViews>
    <sheetView workbookViewId="0">
      <selection activeCell="A2" sqref="A2:G11"/>
    </sheetView>
  </sheetViews>
  <sheetFormatPr baseColWidth="10" defaultRowHeight="12.75" x14ac:dyDescent="0.2"/>
  <cols>
    <col min="2" max="6" width="5.28515625" style="4" customWidth="1"/>
    <col min="7" max="7" width="5.42578125" style="4" customWidth="1"/>
    <col min="8" max="8" width="4" style="4" customWidth="1"/>
    <col min="9" max="9" width="6.28515625" style="4" customWidth="1"/>
    <col min="10" max="16" width="6.28515625" customWidth="1"/>
  </cols>
  <sheetData>
    <row r="2" spans="1:16" x14ac:dyDescent="0.2">
      <c r="A2" s="10" t="s">
        <v>33</v>
      </c>
      <c r="C2" s="4" t="s">
        <v>10</v>
      </c>
      <c r="D2" s="4" t="s">
        <v>11</v>
      </c>
      <c r="E2" s="4" t="s">
        <v>12</v>
      </c>
      <c r="F2" s="4" t="s">
        <v>13</v>
      </c>
      <c r="H2" s="10" t="s">
        <v>4</v>
      </c>
      <c r="I2" s="25">
        <f t="array" ref="I2:P6">TRANSPOSE(B3:F10)</f>
        <v>1</v>
      </c>
      <c r="J2" s="39">
        <v>1</v>
      </c>
      <c r="K2" s="39">
        <v>1</v>
      </c>
      <c r="L2" s="39">
        <v>1</v>
      </c>
      <c r="M2" s="39">
        <v>1</v>
      </c>
      <c r="N2" s="39">
        <v>1</v>
      </c>
      <c r="O2" s="39">
        <v>1</v>
      </c>
      <c r="P2" s="40">
        <v>1</v>
      </c>
    </row>
    <row r="3" spans="1:16" x14ac:dyDescent="0.2">
      <c r="B3" s="25">
        <v>1</v>
      </c>
      <c r="C3" s="26">
        <f>IF(plan!B16=plan!B$4,1,IF(plan!B16=plan!B$5,-1,0))</f>
        <v>-1</v>
      </c>
      <c r="D3" s="26">
        <f>IF(plan!C16=plan!C$4,1,IF(plan!C16=plan!C$5,-1,0))</f>
        <v>-1</v>
      </c>
      <c r="E3" s="26">
        <f>IF(plan!D16=plan!D$4,1,IF(plan!D16=plan!D$5,-1,0))</f>
        <v>1</v>
      </c>
      <c r="F3" s="27">
        <f>IF(plan!E16=plan!E$4,1,IF(plan!E16=plan!E$5,-1,0))</f>
        <v>-1</v>
      </c>
      <c r="H3" s="34"/>
      <c r="I3" s="28">
        <v>-1</v>
      </c>
      <c r="J3" s="41">
        <v>1</v>
      </c>
      <c r="K3" s="41">
        <v>1</v>
      </c>
      <c r="L3" s="41">
        <v>1</v>
      </c>
      <c r="M3" s="41">
        <v>1</v>
      </c>
      <c r="N3" s="41">
        <v>1</v>
      </c>
      <c r="O3" s="41">
        <v>1</v>
      </c>
      <c r="P3" s="42">
        <v>1</v>
      </c>
    </row>
    <row r="4" spans="1:16" x14ac:dyDescent="0.2">
      <c r="B4" s="28">
        <v>1</v>
      </c>
      <c r="C4" s="29">
        <f>IF(plan!B17=plan!B$4,1,IF(plan!B17=plan!B$5,-1,0))</f>
        <v>1</v>
      </c>
      <c r="D4" s="29">
        <f>IF(plan!C17=plan!C$4,1,IF(plan!C17=plan!C$5,-1,0))</f>
        <v>1</v>
      </c>
      <c r="E4" s="29">
        <f>IF(plan!D17=plan!D$4,1,IF(plan!D17=plan!D$5,-1,0))</f>
        <v>1</v>
      </c>
      <c r="F4" s="30">
        <f>IF(plan!E17=plan!E$4,1,IF(plan!E17=plan!E$5,-1,0))</f>
        <v>-1</v>
      </c>
      <c r="H4"/>
      <c r="I4" s="28">
        <v>-1</v>
      </c>
      <c r="J4" s="41">
        <v>1</v>
      </c>
      <c r="K4" s="41">
        <v>-1</v>
      </c>
      <c r="L4" s="41">
        <v>-1</v>
      </c>
      <c r="M4" s="41">
        <v>-1</v>
      </c>
      <c r="N4" s="41">
        <v>-1</v>
      </c>
      <c r="O4" s="41">
        <v>-1</v>
      </c>
      <c r="P4" s="42">
        <v>-1</v>
      </c>
    </row>
    <row r="5" spans="1:16" x14ac:dyDescent="0.2">
      <c r="B5" s="28">
        <v>1</v>
      </c>
      <c r="C5" s="29">
        <f>IF(plan!B18=plan!B$4,1,IF(plan!B18=plan!B$5,-1,0))</f>
        <v>1</v>
      </c>
      <c r="D5" s="29">
        <f>IF(plan!C18=plan!C$4,1,IF(plan!C18=plan!C$5,-1,0))</f>
        <v>-1</v>
      </c>
      <c r="E5" s="29">
        <f>IF(plan!D18=plan!D$4,1,IF(plan!D18=plan!D$5,-1,0))</f>
        <v>-1</v>
      </c>
      <c r="F5" s="30">
        <f>IF(plan!E18=plan!E$4,1,IF(plan!E18=plan!E$5,-1,0))</f>
        <v>-1</v>
      </c>
      <c r="H5"/>
      <c r="I5" s="28">
        <v>1</v>
      </c>
      <c r="J5" s="41">
        <v>1</v>
      </c>
      <c r="K5" s="41">
        <v>-1</v>
      </c>
      <c r="L5" s="41">
        <v>1</v>
      </c>
      <c r="M5" s="41">
        <v>1</v>
      </c>
      <c r="N5" s="41">
        <v>1</v>
      </c>
      <c r="O5" s="41">
        <v>1</v>
      </c>
      <c r="P5" s="42">
        <v>1</v>
      </c>
    </row>
    <row r="6" spans="1:16" x14ac:dyDescent="0.2">
      <c r="B6" s="28">
        <v>1</v>
      </c>
      <c r="C6" s="29">
        <f>IF(plan!B19=plan!B$4,1,IF(plan!B19=plan!B$5,-1,0))</f>
        <v>1</v>
      </c>
      <c r="D6" s="29">
        <f>IF(plan!C19=plan!C$4,1,IF(plan!C19=plan!C$5,-1,0))</f>
        <v>-1</v>
      </c>
      <c r="E6" s="29">
        <f>IF(plan!D19=plan!D$4,1,IF(plan!D19=plan!D$5,-1,0))</f>
        <v>1</v>
      </c>
      <c r="F6" s="30">
        <f>IF(plan!E19=plan!E$4,1,IF(plan!E19=plan!E$5,-1,0))</f>
        <v>1</v>
      </c>
      <c r="H6"/>
      <c r="I6" s="31">
        <v>-1</v>
      </c>
      <c r="J6" s="43">
        <v>-1</v>
      </c>
      <c r="K6" s="43">
        <v>-1</v>
      </c>
      <c r="L6" s="43">
        <v>1</v>
      </c>
      <c r="M6" s="43">
        <v>-1</v>
      </c>
      <c r="N6" s="43">
        <v>-1</v>
      </c>
      <c r="O6" s="43">
        <v>-1</v>
      </c>
      <c r="P6" s="44">
        <v>-1</v>
      </c>
    </row>
    <row r="7" spans="1:16" x14ac:dyDescent="0.2">
      <c r="B7" s="28">
        <v>1</v>
      </c>
      <c r="C7" s="29">
        <f>IF(plan!B20=plan!B$4,1,IF(plan!B20=plan!B$5,-1,0))</f>
        <v>1</v>
      </c>
      <c r="D7" s="29">
        <f>IF(plan!C20=plan!C$4,1,IF(plan!C20=plan!C$5,-1,0))</f>
        <v>-1</v>
      </c>
      <c r="E7" s="29">
        <f>IF(plan!D20=plan!D$4,1,IF(plan!D20=plan!D$5,-1,0))</f>
        <v>1</v>
      </c>
      <c r="F7" s="30">
        <f>IF(plan!E20=plan!E$4,1,IF(plan!E20=plan!E$5,-1,0))</f>
        <v>-1</v>
      </c>
    </row>
    <row r="8" spans="1:16" x14ac:dyDescent="0.2">
      <c r="B8" s="28">
        <v>1</v>
      </c>
      <c r="C8" s="29">
        <f>IF(plan!B21=plan!B$4,1,IF(plan!B21=plan!B$5,-1,0))</f>
        <v>1</v>
      </c>
      <c r="D8" s="29">
        <f>IF(plan!C21=plan!C$4,1,IF(plan!C21=plan!C$5,-1,0))</f>
        <v>-1</v>
      </c>
      <c r="E8" s="29">
        <f>IF(plan!D21=plan!D$4,1,IF(plan!D21=plan!D$5,-1,0))</f>
        <v>1</v>
      </c>
      <c r="F8" s="30">
        <f>IF(plan!E21=plan!E$4,1,IF(plan!E21=plan!E$5,-1,0))</f>
        <v>-1</v>
      </c>
      <c r="H8" s="10" t="s">
        <v>5</v>
      </c>
      <c r="I8" s="25">
        <f t="array" ref="I8:M12">MMULT(I2:P6,B3:F10)</f>
        <v>8</v>
      </c>
      <c r="J8" s="39">
        <v>6</v>
      </c>
      <c r="K8" s="39">
        <v>-6</v>
      </c>
      <c r="L8" s="39">
        <v>6</v>
      </c>
      <c r="M8" s="40">
        <v>-6</v>
      </c>
      <c r="O8" s="34" t="s">
        <v>34</v>
      </c>
    </row>
    <row r="9" spans="1:16" x14ac:dyDescent="0.2">
      <c r="B9" s="28">
        <v>1</v>
      </c>
      <c r="C9" s="29">
        <f>IF(plan!B22=plan!B$4,1,IF(plan!B22=plan!B$5,-1,0))</f>
        <v>1</v>
      </c>
      <c r="D9" s="29">
        <f>IF(plan!C22=plan!C$4,1,IF(plan!C22=plan!C$5,-1,0))</f>
        <v>-1</v>
      </c>
      <c r="E9" s="29">
        <f>IF(plan!D22=plan!D$4,1,IF(plan!D22=plan!D$5,-1,0))</f>
        <v>1</v>
      </c>
      <c r="F9" s="30">
        <f>IF(plan!E22=plan!E$4,1,IF(plan!E22=plan!E$5,-1,0))</f>
        <v>-1</v>
      </c>
      <c r="H9"/>
      <c r="I9" s="28">
        <v>6</v>
      </c>
      <c r="J9" s="41">
        <v>8</v>
      </c>
      <c r="K9" s="41">
        <v>-4</v>
      </c>
      <c r="L9" s="41">
        <v>4</v>
      </c>
      <c r="M9" s="42">
        <v>-4</v>
      </c>
      <c r="O9">
        <f>MDETERM(I8:M12)</f>
        <v>1023.9999999999999</v>
      </c>
    </row>
    <row r="10" spans="1:16" x14ac:dyDescent="0.2">
      <c r="B10" s="31">
        <v>1</v>
      </c>
      <c r="C10" s="32">
        <f>IF(plan!B23=plan!B$4,1,IF(plan!B23=plan!B$5,-1,0))</f>
        <v>1</v>
      </c>
      <c r="D10" s="32">
        <f>IF(plan!C23=plan!C$4,1,IF(plan!C23=plan!C$5,-1,0))</f>
        <v>-1</v>
      </c>
      <c r="E10" s="32">
        <f>IF(plan!D23=plan!D$4,1,IF(plan!D23=plan!D$5,-1,0))</f>
        <v>1</v>
      </c>
      <c r="F10" s="33">
        <f>IF(plan!E23=plan!E$4,1,IF(plan!E23=plan!E$5,-1,0))</f>
        <v>-1</v>
      </c>
      <c r="H10"/>
      <c r="I10" s="28">
        <v>-6</v>
      </c>
      <c r="J10" s="41">
        <v>-4</v>
      </c>
      <c r="K10" s="41">
        <v>8</v>
      </c>
      <c r="L10" s="41">
        <v>-4</v>
      </c>
      <c r="M10" s="42">
        <v>4</v>
      </c>
    </row>
    <row r="11" spans="1:16" x14ac:dyDescent="0.2">
      <c r="H11"/>
      <c r="I11" s="28">
        <v>6</v>
      </c>
      <c r="J11" s="41">
        <v>4</v>
      </c>
      <c r="K11" s="41">
        <v>-4</v>
      </c>
      <c r="L11" s="41">
        <v>8</v>
      </c>
      <c r="M11" s="42">
        <v>-4</v>
      </c>
    </row>
    <row r="12" spans="1:16" x14ac:dyDescent="0.2">
      <c r="H12"/>
      <c r="I12" s="31">
        <v>-6</v>
      </c>
      <c r="J12" s="43">
        <v>-4</v>
      </c>
      <c r="K12" s="43">
        <v>4</v>
      </c>
      <c r="L12" s="43">
        <v>-4</v>
      </c>
      <c r="M12" s="44">
        <v>8</v>
      </c>
    </row>
    <row r="14" spans="1:16" x14ac:dyDescent="0.2">
      <c r="A14" s="10" t="s">
        <v>6</v>
      </c>
      <c r="B14" s="25">
        <f t="array" ref="B14:F18">MINVERSE(I8:M12)</f>
        <v>1.25</v>
      </c>
      <c r="C14" s="39">
        <v>-0.375</v>
      </c>
      <c r="D14" s="39">
        <v>0.37500000000000006</v>
      </c>
      <c r="E14" s="39">
        <v>-0.37500000000000011</v>
      </c>
      <c r="F14" s="40">
        <v>0.375</v>
      </c>
      <c r="H14" s="10" t="s">
        <v>7</v>
      </c>
      <c r="I14" s="25">
        <f t="array" ref="I14:P18">MMULT(B14:F18,I2:P6)</f>
        <v>0.49999999999999989</v>
      </c>
      <c r="J14" s="39">
        <v>0.49999999999999989</v>
      </c>
      <c r="K14" s="35">
        <v>0.5</v>
      </c>
      <c r="L14" s="35">
        <v>0.49999999999999983</v>
      </c>
      <c r="M14" s="35">
        <v>-0.25000000000000017</v>
      </c>
      <c r="N14" s="35">
        <v>-0.25000000000000017</v>
      </c>
      <c r="O14" s="35">
        <v>-0.25000000000000017</v>
      </c>
      <c r="P14" s="36">
        <v>-0.25000000000000017</v>
      </c>
    </row>
    <row r="15" spans="1:16" x14ac:dyDescent="0.2">
      <c r="B15" s="28">
        <v>-0.375</v>
      </c>
      <c r="C15" s="41">
        <v>0.3125</v>
      </c>
      <c r="D15" s="41">
        <v>-6.2500000000000014E-2</v>
      </c>
      <c r="E15" s="41">
        <v>6.2500000000000014E-2</v>
      </c>
      <c r="F15" s="42">
        <v>-6.25E-2</v>
      </c>
      <c r="I15" s="28">
        <v>-0.5</v>
      </c>
      <c r="J15" s="41">
        <v>1.3877787807814457E-17</v>
      </c>
      <c r="K15" s="37">
        <v>0</v>
      </c>
      <c r="L15" s="37">
        <v>2.7755575615628914E-17</v>
      </c>
      <c r="M15" s="37">
        <v>0.12500000000000003</v>
      </c>
      <c r="N15" s="37">
        <v>0.12500000000000003</v>
      </c>
      <c r="O15" s="37">
        <v>0.12500000000000003</v>
      </c>
      <c r="P15" s="38">
        <v>0.12500000000000003</v>
      </c>
    </row>
    <row r="16" spans="1:16" x14ac:dyDescent="0.2">
      <c r="B16" s="28">
        <v>0.375</v>
      </c>
      <c r="C16" s="41">
        <v>-6.2499999999999993E-2</v>
      </c>
      <c r="D16" s="41">
        <v>0.31250000000000006</v>
      </c>
      <c r="E16" s="41">
        <v>-6.2500000000000014E-2</v>
      </c>
      <c r="F16" s="42">
        <v>6.2499999999999993E-2</v>
      </c>
      <c r="I16" s="28">
        <v>-6.2450045135165055E-17</v>
      </c>
      <c r="J16" s="41">
        <v>0.5</v>
      </c>
      <c r="K16" s="37">
        <v>-3.4694469519536142E-17</v>
      </c>
      <c r="L16" s="37">
        <v>-7.6327832942979512E-17</v>
      </c>
      <c r="M16" s="37">
        <v>-0.12500000000000006</v>
      </c>
      <c r="N16" s="37">
        <v>-0.12500000000000006</v>
      </c>
      <c r="O16" s="37">
        <v>-0.12500000000000006</v>
      </c>
      <c r="P16" s="38">
        <v>-0.12500000000000006</v>
      </c>
    </row>
    <row r="17" spans="2:16" x14ac:dyDescent="0.2">
      <c r="B17" s="28">
        <v>-0.37500000000000006</v>
      </c>
      <c r="C17" s="41">
        <v>6.25E-2</v>
      </c>
      <c r="D17" s="41">
        <v>-6.25E-2</v>
      </c>
      <c r="E17" s="41">
        <v>0.31250000000000006</v>
      </c>
      <c r="F17" s="42">
        <v>-6.25E-2</v>
      </c>
      <c r="I17" s="28">
        <v>0</v>
      </c>
      <c r="J17" s="41">
        <v>0</v>
      </c>
      <c r="K17" s="37">
        <v>-0.50000000000000011</v>
      </c>
      <c r="L17" s="37">
        <v>0</v>
      </c>
      <c r="M17" s="37">
        <v>0.125</v>
      </c>
      <c r="N17" s="37">
        <v>0.125</v>
      </c>
      <c r="O17" s="37">
        <v>0.125</v>
      </c>
      <c r="P17" s="38">
        <v>0.125</v>
      </c>
    </row>
    <row r="18" spans="2:16" x14ac:dyDescent="0.2">
      <c r="B18" s="31">
        <v>0.375</v>
      </c>
      <c r="C18" s="43">
        <v>-6.25E-2</v>
      </c>
      <c r="D18" s="43">
        <v>6.25E-2</v>
      </c>
      <c r="E18" s="43">
        <v>-6.2500000000000014E-2</v>
      </c>
      <c r="F18" s="44">
        <v>0.3125</v>
      </c>
      <c r="I18" s="31">
        <v>0</v>
      </c>
      <c r="J18" s="43">
        <v>0</v>
      </c>
      <c r="K18" s="7">
        <v>0</v>
      </c>
      <c r="L18" s="7">
        <v>0.5</v>
      </c>
      <c r="M18" s="7">
        <v>-0.125</v>
      </c>
      <c r="N18" s="7">
        <v>-0.125</v>
      </c>
      <c r="O18" s="7">
        <v>-0.125</v>
      </c>
      <c r="P18" s="8">
        <v>-0.125</v>
      </c>
    </row>
  </sheetData>
  <sheetProtection algorithmName="SHA-512" hashValue="lzJT7cbLwrBOVnTmtW6umZjrAYpXwClWs0Z26PlvMSqJYCk0J+GTEHCbosB/ja2fmGz4zLk/EI6bGIq64XGu2w==" saltValue="UQw2Xz7sq7YVFyjG7og/i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</vt:lpstr>
      <vt:lpstr>Calculs</vt:lpstr>
    </vt:vector>
  </TitlesOfParts>
  <Company>ENSAR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Husson François</dc:creator>
  <cp:lastModifiedBy>Francois Husson</cp:lastModifiedBy>
  <dcterms:created xsi:type="dcterms:W3CDTF">2002-12-13T14:13:14Z</dcterms:created>
  <dcterms:modified xsi:type="dcterms:W3CDTF">2025-12-03T12:26:24Z</dcterms:modified>
</cp:coreProperties>
</file>